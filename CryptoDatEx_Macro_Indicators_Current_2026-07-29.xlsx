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7d7d671af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кроиндикаторы" sheetId="1" r:id="Ra0c34c9d69934b0d"/>
    <x:sheet xmlns:r="http://schemas.openxmlformats.org/officeDocument/2006/relationships" name="Источники и методика" sheetId="2" r:id="R76380754f6e4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E5"/>
      </x:patternFill>
    </x:fill>
    <x:fill>
      <x:patternFill patternType="solid">
        <x:fgColor rgb="FFEAF2F8"/>
      </x:patternFill>
    </x:fill>
    <x:fill>
      <x:patternFill patternType="solid">
        <x:fgColor rgb="FFE8DAEF"/>
      </x:patternFill>
    </x:fill>
    <x:fill>
      <x:patternFill patternType="solid">
        <x:fgColor rgb="FFEAF7EA"/>
      </x:patternFill>
    </x:fill>
    <x:fill>
      <x:patternFill patternType="solid">
        <x:fgColor rgb="FFE8F6F3"/>
      </x:patternFill>
    </x:fill>
    <x:fill>
      <x:patternFill patternType="solid">
        <x:fgColor rgb="FFFFF9E6"/>
      </x:patternFill>
    </x:fill>
    <x:fill>
      <x:patternFill patternType="solid">
        <x:fgColor rgb="FFF2F3F4"/>
      </x:patternFill>
    </x:fill>
    <x:fill>
      <x:patternFill patternType="solid">
        <x:fgColor rgb="FFFDEDEC"/>
      </x:patternFill>
    </x:fill>
    <x:fill>
      <x:patternFill patternType="solid">
        <x:fgColor rgb="FF17365D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6" xfId="0" applyNumberFormat="1" applyFont="1" applyFill="1" applyBorder="1" applyAlignment="1">
      <x:alignment vertical="top" wrapText="1"/>
    </x:xf>
    <x:xf numFmtId="0" fontId="0" fillId="9" borderId="13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9" borderId="14" xfId="0" applyNumberFormat="1" applyFont="1" applyFill="1" applyBorder="1" applyAlignment="1">
      <x:alignment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6" xfId="0" applyNumberFormat="1" applyFont="1" applyFill="1" applyBorder="1" applyAlignment="1">
      <x:alignment vertical="top" wrapText="1"/>
    </x:xf>
    <x:xf numFmtId="0" fontId="0" fillId="10" borderId="13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0" borderId="14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2" fillId="11" borderId="1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a0775bff44695" /><Relationship Type="http://schemas.openxmlformats.org/officeDocument/2006/relationships/theme" Target="/xl/theme/theme1.xml" Id="Rf029a1f2820648ff" /><Relationship Type="http://schemas.openxmlformats.org/officeDocument/2006/relationships/sharedStrings" Target="/xl/sharedStrings.xml" Id="Rd3f93ebc91444c85" /><Relationship Type="http://schemas.openxmlformats.org/officeDocument/2006/relationships/worksheet" Target="/xl/worksheets/sheet1.xml" Id="Ra0c34c9d69934b0d" /><Relationship Type="http://schemas.openxmlformats.org/officeDocument/2006/relationships/worksheet" Target="/xl/worksheets/sheet2.xml" Id="R76380754f6e440c6" /></Relationships>
</file>

<file path=xl/tables/table1.xml><?xml version="1.0" encoding="utf-8"?>
<x:table xmlns:x="http://schemas.openxmlformats.org/spreadsheetml/2006/main" id="1" name="MacroIndicatorsTable" displayName="MacroIndicatorsTable" ref="A1:X26" headerRowCount="1">
  <x:tableColumns count="24">
    <x:tableColumn id="1" name="№"/>
    <x:tableColumn id="2" name="Категория"/>
    <x:tableColumn id="3" name="Индикатор / новость"/>
    <x:tableColumn id="4" name="Тикер TradingView"/>
    <x:tableColumn id="5" name="FRED Series ID"/>
    <x:tableColumn id="6" name="Что измеряет"/>
    <x:tableColumn id="7" name="Публикует"/>
    <x:tableColumn id="8" name="Частота"/>
    <x:tableColumn id="9" name="Период данных"/>
    <x:tableColumn id="10" name="Дата проверки"/>
    <x:tableColumn id="11" name="Последнее значение"/>
    <x:tableColumn id="12" name="Предыдущее значение"/>
    <x:tableColumn id="13" name="Прогноз/консенсус"/>
    <x:tableColumn id="14" name="Главный критерий реакции"/>
    <x:tableColumn id="15" name="Если показатель ВЫРОС — фондовый рынок"/>
    <x:tableColumn id="16" name="Если показатель УПАЛ — фондовый рынок"/>
    <x:tableColumn id="17" name="Если показатель ВЫРОС — крипторынок"/>
    <x:tableColumn id="18" name="Если показатель УПАЛ — крипторынок"/>
    <x:tableColumn id="19" name="Важные исключения и контекст"/>
    <x:tableColumn id="20" name="Что смотреть одновременно"/>
    <x:tableColumn id="21" name="Сила влияния на акции (1–5)"/>
    <x:tableColumn id="22" name="Сила влияния на крипто (1–5)"/>
    <x:tableColumn id="23" name="Официальный / основной источник"/>
    <x:tableColumn id="24" name="Доп. календарь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f83fdf699a421e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28" hidden="0" customWidth="1"/>
    <x:col min="4" max="4" width="20" hidden="0" customWidth="1"/>
    <x:col min="5" max="5" width="16" hidden="0" customWidth="1"/>
    <x:col min="6" max="6" width="38" hidden="0" customWidth="1"/>
    <x:col min="7" max="7" width="22" hidden="0" customWidth="1"/>
    <x:col min="8" max="8" width="17" hidden="0" customWidth="1"/>
    <x:col min="9" max="9" width="22" hidden="0" customWidth="1"/>
    <x:col min="10" max="10" width="14" hidden="0" customWidth="1"/>
    <x:col min="11" max="11" width="20" hidden="0" customWidth="1"/>
    <x:col min="12" max="12" width="20" hidden="0" customWidth="1"/>
    <x:col min="13" max="13" width="18" hidden="0" customWidth="1"/>
    <x:col min="14" max="14" width="34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50" hidden="0" customWidth="1"/>
    <x:col min="20" max="20" width="34" hidden="0" customWidth="1"/>
    <x:col min="21" max="21" width="13" hidden="0" customWidth="1"/>
    <x:col min="22" max="22" width="13" hidden="0" customWidth="1"/>
    <x:col min="23" max="23" width="42" hidden="0" customWidth="1"/>
    <x:col min="24" max="24" width="38" hidden="0" customWidth="1"/>
  </x:cols>
  <x:sheetData>
    <x:row r="1" ht="42" customHeight="1">
      <x:c r="A1" s="16" t="str">
        <x:v>№</x:v>
      </x:c>
      <x:c r="B1" s="17" t="str">
        <x:v>Категория</x:v>
      </x:c>
      <x:c r="C1" s="17" t="str">
        <x:v>Индикатор / новость</x:v>
      </x:c>
      <x:c r="D1" s="17" t="str">
        <x:v>Тикер TradingView</x:v>
      </x:c>
      <x:c r="E1" s="17" t="str">
        <x:v>FRED Series ID</x:v>
      </x:c>
      <x:c r="F1" s="17" t="str">
        <x:v>Что измеряет</x:v>
      </x:c>
      <x:c r="G1" s="17" t="str">
        <x:v>Публикует</x:v>
      </x:c>
      <x:c r="H1" s="17" t="str">
        <x:v>Частота</x:v>
      </x:c>
      <x:c r="I1" s="17" t="str">
        <x:v>Период данных</x:v>
      </x:c>
      <x:c r="J1" s="17" t="str">
        <x:v>Дата проверки</x:v>
      </x:c>
      <x:c r="K1" s="17" t="str">
        <x:v>Последнее значение</x:v>
      </x:c>
      <x:c r="L1" s="17" t="str">
        <x:v>Предыдущее значение</x:v>
      </x:c>
      <x:c r="M1" s="17" t="str">
        <x:v>Прогноз/консенсус</x:v>
      </x:c>
      <x:c r="N1" s="17" t="str">
        <x:v>Главный критерий реакции</x:v>
      </x:c>
      <x:c r="O1" s="17" t="str">
        <x:v>Если показатель ВЫРОС — фондовый рынок</x:v>
      </x:c>
      <x:c r="P1" s="17" t="str">
        <x:v>Если показатель УПАЛ — фондовый рынок</x:v>
      </x:c>
      <x:c r="Q1" s="17" t="str">
        <x:v>Если показатель ВЫРОС — крипторынок</x:v>
      </x:c>
      <x:c r="R1" s="17" t="str">
        <x:v>Если показатель УПАЛ — крипторынок</x:v>
      </x:c>
      <x:c r="S1" s="17" t="str">
        <x:v>Важные исключения и контекст</x:v>
      </x:c>
      <x:c r="T1" s="17" t="str">
        <x:v>Что смотреть одновременно</x:v>
      </x:c>
      <x:c r="U1" s="17" t="str">
        <x:v>Сила влияния на акции (1–5)</x:v>
      </x:c>
      <x:c r="V1" s="17" t="str">
        <x:v>Сила влияния на крипто (1–5)</x:v>
      </x:c>
      <x:c r="W1" s="17" t="str">
        <x:v>Официальный / основной источник</x:v>
      </x:c>
      <x:c r="X1" s="18" t="str">
        <x:v>Доп. календарь</x:v>
      </x:c>
    </x:row>
    <x:row r="2" ht="92" customHeight="1">
      <x:c r="A2" s="32" t="n">
        <x:v>1</x:v>
      </x:c>
      <x:c r="B2" s="33" t="str">
        <x:v>Инфляция</x:v>
      </x:c>
      <x:c r="C2" s="33" t="str">
        <x:v>CPI, общий (MoM / YoY)</x:v>
      </x:c>
      <x:c r="D2" s="33" t="str">
        <x:v>ECONOMIC:USCPI</x:v>
      </x:c>
      <x:c r="E2" s="33" t="str">
        <x:v>CPIAUCSL</x:v>
      </x:c>
      <x:c r="F2" s="33" t="str">
        <x:v>Изменение стоимости потребительской корзины. Главный публичный индикатор инфляции.</x:v>
      </x:c>
      <x:c r="G2" s="33" t="str">
        <x:v>BLS</x:v>
      </x:c>
      <x:c r="H2" s="33" t="str">
        <x:v>Ежемесячно</x:v>
      </x:c>
      <x:c r="I2" s="33" t="str">
        <x:v>Июнь 2026</x:v>
      </x:c>
      <x:c r="J2" s="33" t="str">
        <x:v>2026-07-29</x:v>
      </x:c>
      <x:c r="K2" s="33" t="str">
        <x:v>-0.4% MoM; 3.5% YoY</x:v>
      </x:c>
      <x:c r="L2" s="33" t="str">
        <x:v>0.1% MoM; 3.6% YoY</x:v>
      </x:c>
      <x:c r="M2" s="33" t="str">
        <x:v>—</x:v>
      </x:c>
      <x:c r="N2" s="33" t="str">
        <x:v>Actual против forecast; затем Core CPI MoM и пересмотры.</x:v>
      </x:c>
      <x:c r="O2" s="33" t="str">
        <x:v>Рост выше ожиданий обычно повышает доходности и ожидания жесткой ФРС: Nasdaq и growth-акции падают сильнее S&amp;P 500; банки могут кратко выглядеть лучше, но широкий рынок чаще под давлением.</x:v>
      </x:c>
      <x:c r="P2" s="33" t="str">
        <x:v>Снижение ниже ожиданий обычно снижает доходности и доллар: Nasdaq, полупроводники и small caps часто растут быстрее рынка.</x:v>
      </x:c>
      <x:c r="Q2" s="33" t="str">
        <x:v>Рост выше ожиданий обычно негативен для BTC/ETH; альткоины падают сильнее из-за снижения ликвидности и аппетита к риску.</x:v>
      </x:c>
      <x:c r="R2" s="33" t="str">
        <x:v>Снижение ниже ожиданий обычно позитивно для BTC/ETH и особенно альткоинов, если одновременно падают DXY и US02Y.</x:v>
      </x:c>
      <x:c r="S2" s="33" t="str">
        <x:v>Рынок реагирует на сюрприз, а не на абсолютный уровень. Высокий CPI может вызвать рост, если ожидали еще выше.</x:v>
      </x:c>
      <x:c r="T2" s="33" t="str">
        <x:v>US02Y, US10Y, DXY, FedWatch, Nasdaq futures</x:v>
      </x:c>
      <x:c r="U2" s="33" t="n">
        <x:v>5</x:v>
      </x:c>
      <x:c r="V2" s="33" t="n">
        <x:v>5</x:v>
      </x:c>
      <x:c r="W2" s="33" t="str">
        <x:v>https://www.bls.gov/cpi/</x:v>
      </x:c>
      <x:c r="X2" s="34" t="str">
        <x:v>https://www.myfxbook.com/forex-economic-calendar</x:v>
      </x:c>
    </x:row>
    <x:row r="3" ht="92" customHeight="1">
      <x:c r="A3" s="32" t="n">
        <x:v>2</x:v>
      </x:c>
      <x:c r="B3" s="33" t="str">
        <x:v>Инфляция</x:v>
      </x:c>
      <x:c r="C3" s="33" t="str">
        <x:v>Core CPI (без еды и энергии)</x:v>
      </x:c>
      <x:c r="D3" s="33" t="str">
        <x:v>ECONOMIC:USCPIFEF</x:v>
      </x:c>
      <x:c r="E3" s="33" t="str">
        <x:v>CPILFESL</x:v>
      </x:c>
      <x:c r="F3" s="33" t="str">
        <x:v>Базовая потребительская инфляция, очищенная от волатильных еды и энергии.</x:v>
      </x:c>
      <x:c r="G3" s="33" t="str">
        <x:v>BLS</x:v>
      </x:c>
      <x:c r="H3" s="33" t="str">
        <x:v>Ежемесячно</x:v>
      </x:c>
      <x:c r="I3" s="33" t="str">
        <x:v>Июнь 2026</x:v>
      </x:c>
      <x:c r="J3" s="33" t="str">
        <x:v>2026-07-29</x:v>
      </x:c>
      <x:c r="K3" s="33" t="str">
        <x:v>0.0% MoM; 2.6% YoY</x:v>
      </x:c>
      <x:c r="L3" s="33" t="str">
        <x:v>0.2% MoM; 2.8% YoY</x:v>
      </x:c>
      <x:c r="M3" s="33" t="str">
        <x:v>—</x:v>
      </x:c>
      <x:c r="N3" s="33" t="str">
        <x:v>Core CPI MoM actual vs forecast — обычно важнее общего YoY.</x:v>
      </x:c>
      <x:c r="O3" s="33" t="str">
        <x:v>Рост означает более устойчивую инфляцию и более высокую дисконтную ставку: негатив для technology, REITs и long-duration equities.</x:v>
      </x:c>
      <x:c r="P3" s="33" t="str">
        <x:v>Падение облегчает условия для снижения ставок и поддерживает growth-сегмент.</x:v>
      </x:c>
      <x:c r="Q3" s="33" t="str">
        <x:v>Рост — сильный негатив, так как снижает вероятность мягкой политики ФРС.</x:v>
      </x:c>
      <x:c r="R3" s="33" t="str">
        <x:v>Падение — сильный позитив при подтверждении снижением доходностей.</x:v>
      </x:c>
      <x:c r="S3" s="33" t="str">
        <x:v>Если общий CPI падает только из-за энергии, а Core остается высоким, первоначальный рост рынка может быстро развернуться.</x:v>
      </x:c>
      <x:c r="T3" s="33" t="str">
        <x:v>US02Y, DXY, shelter inflation, services ex-housing</x:v>
      </x:c>
      <x:c r="U3" s="33" t="n">
        <x:v>5</x:v>
      </x:c>
      <x:c r="V3" s="33" t="n">
        <x:v>5</x:v>
      </x:c>
      <x:c r="W3" s="33" t="str">
        <x:v>https://www.bls.gov/cpi/</x:v>
      </x:c>
      <x:c r="X3" s="34" t="str">
        <x:v>https://www.forexfactory.com/calendar</x:v>
      </x:c>
    </x:row>
    <x:row r="4" ht="92" customHeight="1">
      <x:c r="A4" s="32" t="n">
        <x:v>3</x:v>
      </x:c>
      <x:c r="B4" s="33" t="str">
        <x:v>Инфляция</x:v>
      </x:c>
      <x:c r="C4" s="33" t="str">
        <x:v>PPI, финальный спрос (MoM / YoY)</x:v>
      </x:c>
      <x:c r="D4" s="33" t="str">
        <x:v>ECONOMIC:USPPI</x:v>
      </x:c>
      <x:c r="E4" s="33" t="str">
        <x:v>PPIACO</x:v>
      </x:c>
      <x:c r="F4" s="33" t="str">
        <x:v>Изменение отпускных цен производителей; ранний сигнал будущего давления на потребительские цены и маржу.</x:v>
      </x:c>
      <x:c r="G4" s="33" t="str">
        <x:v>BLS</x:v>
      </x:c>
      <x:c r="H4" s="33" t="str">
        <x:v>Ежемесячно</x:v>
      </x:c>
      <x:c r="I4" s="33" t="str">
        <x:v>Июнь 2026</x:v>
      </x:c>
      <x:c r="J4" s="33" t="str">
        <x:v>2026-07-29</x:v>
      </x:c>
      <x:c r="K4" s="33" t="str">
        <x:v>-0.3% MoM; 5.5% YoY</x:v>
      </x:c>
      <x:c r="L4" s="33" t="str">
        <x:v>0.2% MoM; 6.0% YoY</x:v>
      </x:c>
      <x:c r="M4" s="33" t="str">
        <x:v>—</x:v>
      </x:c>
      <x:c r="N4" s="33" t="str">
        <x:v>Actual vs forecast; структура goods/services и пересмотры.</x:v>
      </x:c>
      <x:c r="O4" s="33" t="str">
        <x:v>Рост выше ожиданий давит на акции через инфляцию и маржу; потребительские и производственные компании могут страдать сильнее.</x:v>
      </x:c>
      <x:c r="P4" s="33" t="str">
        <x:v>Падение снижает инфляционные риски и поддерживает рынок, особенно если CPI тоже замедляется.</x:v>
      </x:c>
      <x:c r="Q4" s="33" t="str">
        <x:v>Рост обычно негативен, но слабее CPI; реакция сильнее при резком сюрпризе.</x:v>
      </x:c>
      <x:c r="R4" s="33" t="str">
        <x:v>Падение обычно позитивно через ожидания более мягкой ФРС.</x:v>
      </x:c>
      <x:c r="S4" s="33" t="str">
        <x:v>Сильный PPI не всегда переносится в CPI: компании могут принять рост затрат на маржу.</x:v>
      </x:c>
      <x:c r="T4" s="33" t="str">
        <x:v>US02Y, CPI, commodity prices, corporate margins</x:v>
      </x:c>
      <x:c r="U4" s="33" t="n">
        <x:v>4</x:v>
      </x:c>
      <x:c r="V4" s="33" t="n">
        <x:v>4</x:v>
      </x:c>
      <x:c r="W4" s="33" t="str">
        <x:v>https://www.bls.gov/ppi/</x:v>
      </x:c>
      <x:c r="X4" s="34" t="str">
        <x:v>https://www.investing.com/economic-calendar/ppi-238</x:v>
      </x:c>
    </x:row>
    <x:row r="5" ht="92" customHeight="1">
      <x:c r="A5" s="32" t="n">
        <x:v>4</x:v>
      </x:c>
      <x:c r="B5" s="33" t="str">
        <x:v>Инфляция</x:v>
      </x:c>
      <x:c r="C5" s="33" t="str">
        <x:v>Core PPI YoY</x:v>
      </x:c>
      <x:c r="D5" s="33" t="str">
        <x:v>—</x:v>
      </x:c>
      <x:c r="E5" s="33" t="str">
        <x:v>—</x:v>
      </x:c>
      <x:c r="F5" s="33" t="str">
        <x:v>PPI без еды и энергии; показывает более устойчивое давление на производственные цены.</x:v>
      </x:c>
      <x:c r="G5" s="33" t="str">
        <x:v>BLS</x:v>
      </x:c>
      <x:c r="H5" s="33" t="str">
        <x:v>Ежемесячно</x:v>
      </x:c>
      <x:c r="I5" s="33" t="str">
        <x:v>Июнь 2026</x:v>
      </x:c>
      <x:c r="J5" s="33" t="str">
        <x:v>2026-07-29</x:v>
      </x:c>
      <x:c r="K5" s="33" t="str">
        <x:v>4.7% YoY</x:v>
      </x:c>
      <x:c r="L5" s="33" t="str">
        <x:v>5.2% YoY</x:v>
      </x:c>
      <x:c r="M5" s="33" t="str">
        <x:v>5.2%</x:v>
      </x:c>
      <x:c r="N5" s="33" t="str">
        <x:v>Actual vs forecast и предыдущие пересмотры.</x:v>
      </x:c>
      <x:c r="O5" s="33" t="str">
        <x:v>Рост выше ожиданий — негатив для growth и компаний с низкой ценовой властью.</x:v>
      </x:c>
      <x:c r="P5" s="33" t="str">
        <x:v>Снижение — умеренный позитив для акций.</x:v>
      </x:c>
      <x:c r="Q5" s="33" t="str">
        <x:v>Рост — умеренно негативно; особенно если одновременно растут CPI и доходности.</x:v>
      </x:c>
      <x:c r="R5" s="33" t="str">
        <x:v>Снижение — умеренно позитивно.</x:v>
      </x:c>
      <x:c r="S5" s="33" t="str">
        <x:v>Влияние ниже Core CPI/Core PCE, если данные не меняют ожидания по ставке.</x:v>
      </x:c>
      <x:c r="T5" s="33" t="str">
        <x:v>US02Y, Core CPI, Core PCE</x:v>
      </x:c>
      <x:c r="U5" s="33" t="n">
        <x:v>3</x:v>
      </x:c>
      <x:c r="V5" s="33" t="n">
        <x:v>3</x:v>
      </x:c>
      <x:c r="W5" s="33" t="str">
        <x:v>https://www.bls.gov/ppi/</x:v>
      </x:c>
      <x:c r="X5" s="34" t="str">
        <x:v>https://www.investing.com/economic-calendar/core-ppi-735</x:v>
      </x:c>
    </x:row>
    <x:row r="6" ht="92" customHeight="1">
      <x:c r="A6" s="38" t="n">
        <x:v>5</x:v>
      </x:c>
      <x:c r="B6" s="39" t="str">
        <x:v>Экономический рост</x:v>
      </x:c>
      <x:c r="C6" s="39" t="str">
        <x:v>Real GDP, annualized QoQ</x:v>
      </x:c>
      <x:c r="D6" s="39" t="str">
        <x:v>ECONOMIC:USGDP</x:v>
      </x:c>
      <x:c r="E6" s="39" t="str">
        <x:v>A191RL1Q225SBEA</x:v>
      </x:c>
      <x:c r="F6" s="39" t="str">
        <x:v>Реальный рост экономики США в пересчете на годовой темп.</x:v>
      </x:c>
      <x:c r="G6" s="39" t="str">
        <x:v>BEA</x:v>
      </x:c>
      <x:c r="H6" s="39" t="str">
        <x:v>Ежеквартально, 3 оценки</x:v>
      </x:c>
      <x:c r="I6" s="39" t="str">
        <x:v>1 квартал 2026, третья оценка</x:v>
      </x:c>
      <x:c r="J6" s="39" t="str">
        <x:v>2026-07-29</x:v>
      </x:c>
      <x:c r="K6" s="39" t="str">
        <x:v>2.1%</x:v>
      </x:c>
      <x:c r="L6" s="39" t="str">
        <x:v>0.5%</x:v>
      </x:c>
      <x:c r="M6" s="39" t="str">
        <x:v>—</x:v>
      </x:c>
      <x:c r="N6" s="39" t="str">
        <x:v>Actual vs forecast; consumption, investment, inventories и inflation deflator.</x:v>
      </x:c>
      <x:c r="O6" s="39" t="str">
        <x:v>Умеренный рост обычно позитивен для циклических акций. Слишком сильный рост при высокой инфляции может быть негативен из-за ставок.</x:v>
      </x:c>
      <x:c r="P6" s="39" t="str">
        <x:v>Умеренное замедление может поддержать growth через снижение ставок; резкое падение/рецессия негативны для всего рынка.</x:v>
      </x:c>
      <x:c r="Q6" s="39" t="str">
        <x:v>Умеренный рост позитивен через risk-on; перегрев может стать негативом через доходности.</x:v>
      </x:c>
      <x:c r="R6" s="39" t="str">
        <x:v>Небольшое замедление иногда позитивно, но рецессионный спад резко негативен для крипто.</x:v>
      </x:c>
      <x:c r="S6" s="39" t="str">
        <x:v>GDP — запаздывающий показатель; состав роста важнее headline.</x:v>
      </x:c>
      <x:c r="T6" s="39" t="str">
        <x:v>GDP deflator, personal consumption, US02Y, earnings</x:v>
      </x:c>
      <x:c r="U6" s="39" t="n">
        <x:v>4</x:v>
      </x:c>
      <x:c r="V6" s="39" t="n">
        <x:v>4</x:v>
      </x:c>
      <x:c r="W6" s="39" t="str">
        <x:v>https://www.bea.gov/data/gdp/gross-domestic-product</x:v>
      </x:c>
      <x:c r="X6" s="40" t="str">
        <x:v>https://www.forexfactory.com/calendar</x:v>
      </x:c>
    </x:row>
    <x:row r="7" ht="92" customHeight="1">
      <x:c r="A7" s="44" t="n">
        <x:v>6</x:v>
      </x:c>
      <x:c r="B7" s="45" t="str">
        <x:v>Монетарная политика</x:v>
      </x:c>
      <x:c r="C7" s="45" t="str">
        <x:v>Решение FOMC по ставке</x:v>
      </x:c>
      <x:c r="D7" s="45" t="str">
        <x:v>ECONOMIC:USFEDFUNDS</x:v>
      </x:c>
      <x:c r="E7" s="45" t="str">
        <x:v>DFEDTARU</x:v>
      </x:c>
      <x:c r="F7" s="45" t="str">
        <x:v>Целевой диапазон ставки федеральных фондов и направленность политики ФРС.</x:v>
      </x:c>
      <x:c r="G7" s="45" t="str">
        <x:v>Federal Reserve</x:v>
      </x:c>
      <x:c r="H7" s="45" t="str">
        <x:v>8 раз в год</x:v>
      </x:c>
      <x:c r="I7" s="45" t="str">
        <x:v>Заседание 17 июня 2026</x:v>
      </x:c>
      <x:c r="J7" s="45" t="str">
        <x:v>2026-07-29</x:v>
      </x:c>
      <x:c r="K7" s="45" t="str">
        <x:v>3.50–3.75%</x:v>
      </x:c>
      <x:c r="L7" s="45" t="str">
        <x:v>3.50–3.75%</x:v>
      </x:c>
      <x:c r="M7" s="45" t="str">
        <x:v>Сохранение диапазона</x:v>
      </x:c>
      <x:c r="N7" s="45" t="str">
        <x:v>Решение vs ожидания; statement, dot plot и пресс-конференция важнее самого неизменного решения.</x:v>
      </x:c>
      <x:c r="O7" s="45" t="str">
        <x:v>Повышение или более жесткая риторика обычно снижает индексы; Nasdaq и small caps наиболее чувствительны.</x:v>
      </x:c>
      <x:c r="P7" s="45" t="str">
        <x:v>Снижение/мягкая риторика обычно поддерживает рынок, если не сигнализирует о кризисе.</x:v>
      </x:c>
      <x:c r="Q7" s="45" t="str">
        <x:v>Повышение/ястребиный сигнал — один из самых сильных негативных факторов для BTC и альткоинов.</x:v>
      </x:c>
      <x:c r="R7" s="45" t="str">
        <x:v>Снижение/голубиный сигнал — сильный позитив, особенно при росте ликвидности.</x:v>
      </x:c>
      <x:c r="S7" s="45" t="str">
        <x:v>Снижение ставки из-за финансового стресса может сначала вызвать падение risk assets.</x:v>
      </x:c>
      <x:c r="T7" s="45" t="str">
        <x:v>Dot plot, Powell, SOFR, US02Y, balance sheet</x:v>
      </x:c>
      <x:c r="U7" s="45" t="n">
        <x:v>5</x:v>
      </x:c>
      <x:c r="V7" s="45" t="n">
        <x:v>5</x:v>
      </x:c>
      <x:c r="W7" s="45" t="str">
        <x:v>https://www.federalreserve.gov/newsevents/pressreleases/monetary20260617a.htm</x:v>
      </x:c>
      <x:c r="X7" s="46" t="str">
        <x:v>https://www.myfxbook.com/forex-economic-calendar</x:v>
      </x:c>
    </x:row>
    <x:row r="8" ht="92" customHeight="1">
      <x:c r="A8" s="50" t="n">
        <x:v>7</x:v>
      </x:c>
      <x:c r="B8" s="51" t="str">
        <x:v>Рынок труда</x:v>
      </x:c>
      <x:c r="C8" s="51" t="str">
        <x:v>Non-Farm Payrolls (NFP)</x:v>
      </x:c>
      <x:c r="D8" s="51" t="str">
        <x:v>ECONOMIC:USNFP</x:v>
      </x:c>
      <x:c r="E8" s="51" t="str">
        <x:v>PAYEMS</x:v>
      </x:c>
      <x:c r="F8" s="51" t="str">
        <x:v>Изменение числа занятых вне сельского хозяйства.</x:v>
      </x:c>
      <x:c r="G8" s="51" t="str">
        <x:v>BLS</x:v>
      </x:c>
      <x:c r="H8" s="51" t="str">
        <x:v>Ежемесячно</x:v>
      </x:c>
      <x:c r="I8" s="51" t="str">
        <x:v>Июнь 2026</x:v>
      </x:c>
      <x:c r="J8" s="51" t="str">
        <x:v>2026-07-29</x:v>
      </x:c>
      <x:c r="K8" s="51" t="str">
        <x:v>+57K</x:v>
      </x:c>
      <x:c r="L8" s="51" t="str">
        <x:v>+172K</x:v>
      </x:c>
      <x:c r="M8" s="51" t="str">
        <x:v>—</x:v>
      </x:c>
      <x:c r="N8" s="51" t="str">
        <x:v>NFP actual vs forecast; revisions, unemployment и wages.</x:v>
      </x:c>
      <x:c r="O8" s="51" t="str">
        <x:v>Сильный рост при нормальной инфляции позитивен для прибыли компаний; при перегреве может вызвать рост доходностей и падение Nasdaq.</x:v>
      </x:c>
      <x:c r="P8" s="51" t="str">
        <x:v>Слабое снижение может поддержать рынок ожиданиями снижения ставок; резкий провал вызывает страх рецессии.</x:v>
      </x:c>
      <x:c r="Q8" s="51" t="str">
        <x:v>Сильные данные часто негативны, если повышают ожидания ставки; в risk-on режиме могут быть позитивны.</x:v>
      </x:c>
      <x:c r="R8" s="51" t="str">
        <x:v>Небольшая слабость может быть позитивна через ФРС; резкий провал негативен для BTC и особенно альткоинов.</x:v>
      </x:c>
      <x:c r="S8" s="51" t="str">
        <x:v>Нельзя анализировать отдельно от зарплат, безработицы и пересмотров.</x:v>
      </x:c>
      <x:c r="T8" s="51" t="str">
        <x:v>Average hourly earnings, unemployment, US02Y, DXY</x:v>
      </x:c>
      <x:c r="U8" s="51" t="n">
        <x:v>5</x:v>
      </x:c>
      <x:c r="V8" s="51" t="n">
        <x:v>5</x:v>
      </x:c>
      <x:c r="W8" s="51" t="str">
        <x:v>https://www.bls.gov/news.release/empsit.nr0.htm</x:v>
      </x:c>
      <x:c r="X8" s="52" t="str">
        <x:v>https://www.forexfactory.com/calendar</x:v>
      </x:c>
    </x:row>
    <x:row r="9" ht="92" customHeight="1">
      <x:c r="A9" s="50" t="n">
        <x:v>8</x:v>
      </x:c>
      <x:c r="B9" s="51" t="str">
        <x:v>Рынок труда</x:v>
      </x:c>
      <x:c r="C9" s="51" t="str">
        <x:v>Уровень безработицы</x:v>
      </x:c>
      <x:c r="D9" s="51" t="str">
        <x:v>ECONOMIC:USUNR</x:v>
      </x:c>
      <x:c r="E9" s="51" t="str">
        <x:v>UNRATE</x:v>
      </x:c>
      <x:c r="F9" s="51" t="str">
        <x:v>Доля рабочей силы без работы, активно ищущая работу.</x:v>
      </x:c>
      <x:c r="G9" s="51" t="str">
        <x:v>BLS</x:v>
      </x:c>
      <x:c r="H9" s="51" t="str">
        <x:v>Ежемесячно</x:v>
      </x:c>
      <x:c r="I9" s="51" t="str">
        <x:v>Июнь 2026</x:v>
      </x:c>
      <x:c r="J9" s="51" t="str">
        <x:v>2026-07-29</x:v>
      </x:c>
      <x:c r="K9" s="51" t="str">
        <x:v>4.2%</x:v>
      </x:c>
      <x:c r="L9" s="51" t="str">
        <x:v>4.3%</x:v>
      </x:c>
      <x:c r="M9" s="51" t="str">
        <x:v>—</x:v>
      </x:c>
      <x:c r="N9" s="51" t="str">
        <x:v>Actual vs forecast; participation rate и причины изменения.</x:v>
      </x:c>
      <x:c r="O9" s="51" t="str">
        <x:v>Рост обычно негативен через охлаждение экономики, но умеренный рост может поддержать акции ожиданиями снижения ставок.</x:v>
      </x:c>
      <x:c r="P9" s="51" t="str">
        <x:v>Падение обычно позитивно для экономики, но при перегреве усиливает риск жесткой ФРС.</x:v>
      </x:c>
      <x:c r="Q9" s="51" t="str">
        <x:v>Рост умеренно может быть позитивен через rate cuts; резкий рост — негативен из-за recession risk.</x:v>
      </x:c>
      <x:c r="R9" s="51" t="str">
        <x:v>Падение может быть позитивно в risk-on, но негативно при инфляционном перегреве.</x:v>
      </x:c>
      <x:c r="S9" s="51" t="str">
        <x:v>Падение безработицы из-за выхода людей из рабочей силы — не обязательно сильный сигнал.</x:v>
      </x:c>
      <x:c r="T9" s="51" t="str">
        <x:v>Participation rate, NFP, claims, Sahm Rule</x:v>
      </x:c>
      <x:c r="U9" s="51" t="n">
        <x:v>4</x:v>
      </x:c>
      <x:c r="V9" s="51" t="n">
        <x:v>4</x:v>
      </x:c>
      <x:c r="W9" s="51" t="str">
        <x:v>https://www.bls.gov/news.release/empsit.nr0.htm</x:v>
      </x:c>
      <x:c r="X9" s="52" t="str">
        <x:v>https://www.myfxbook.com/forex-economic-calendar</x:v>
      </x:c>
    </x:row>
    <x:row r="10" ht="92" customHeight="1">
      <x:c r="A10" s="50" t="n">
        <x:v>9</x:v>
      </x:c>
      <x:c r="B10" s="51" t="str">
        <x:v>Рынок труда</x:v>
      </x:c>
      <x:c r="C10" s="51" t="str">
        <x:v>Initial Jobless Claims</x:v>
      </x:c>
      <x:c r="D10" s="51" t="str">
        <x:v>ECONOMIC:USIJC</x:v>
      </x:c>
      <x:c r="E10" s="51" t="str">
        <x:v>ICSA</x:v>
      </x:c>
      <x:c r="F10" s="51" t="str">
        <x:v>Новые заявки на пособие по безработице — наиболее оперативный индикатор увольнений.</x:v>
      </x:c>
      <x:c r="G10" s="51" t="str">
        <x:v>U.S. Department of Labor</x:v>
      </x:c>
      <x:c r="H10" s="51" t="str">
        <x:v>Еженедельно</x:v>
      </x:c>
      <x:c r="I10" s="51" t="str">
        <x:v>Неделя до 18 июля 2026</x:v>
      </x:c>
      <x:c r="J10" s="51" t="str">
        <x:v>2026-07-29</x:v>
      </x:c>
      <x:c r="K10" s="51" t="str">
        <x:v>187K</x:v>
      </x:c>
      <x:c r="L10" s="51" t="str">
        <x:v>209K</x:v>
      </x:c>
      <x:c r="M10" s="51" t="str">
        <x:v>211K</x:v>
      </x:c>
      <x:c r="N10" s="51" t="str">
        <x:v>Actual vs forecast; 4-week average и continuing claims.</x:v>
      </x:c>
      <x:c r="O10" s="51" t="str">
        <x:v>Рост заявок умеренно негативен, но может поддержать growth через снижение доходностей; резкий всплеск негативен.</x:v>
      </x:c>
      <x:c r="P10" s="51" t="str">
        <x:v>Падение заявок позитивно для экономики, но может повышать доходности и давить на rate-sensitive акции.</x:v>
      </x:c>
      <x:c r="Q10" s="51" t="str">
        <x:v>Рост умеренно может быть позитивен через ожидания снижения ставок; резкий рост негативен.</x:v>
      </x:c>
      <x:c r="R10" s="51" t="str">
        <x:v>Падение может давить на крипто через более жесткие ожидания ФРС.</x:v>
      </x:c>
      <x:c r="S10" s="51" t="str">
        <x:v>Сильная сезонность; разовый недельный скачок часто игнорируется.</x:v>
      </x:c>
      <x:c r="T10" s="51" t="str">
        <x:v>4-week average, continuing claims, US02Y</x:v>
      </x:c>
      <x:c r="U10" s="51" t="n">
        <x:v>3</x:v>
      </x:c>
      <x:c r="V10" s="51" t="n">
        <x:v>3</x:v>
      </x:c>
      <x:c r="W10" s="51" t="str">
        <x:v>https://fred.stlouisfed.org/series/ICSA</x:v>
      </x:c>
      <x:c r="X10" s="52" t="str">
        <x:v>https://www.investing.com/economic-calendar/initial-jobless-claims-294</x:v>
      </x:c>
    </x:row>
    <x:row r="11" ht="92" customHeight="1">
      <x:c r="A11" s="50" t="n">
        <x:v>10</x:v>
      </x:c>
      <x:c r="B11" s="51" t="str">
        <x:v>Рынок труда</x:v>
      </x:c>
      <x:c r="C11" s="51" t="str">
        <x:v>JOLTS Job Openings</x:v>
      </x:c>
      <x:c r="D11" s="51" t="str">
        <x:v>—</x:v>
      </x:c>
      <x:c r="E11" s="51" t="str">
        <x:v>JTSJOL</x:v>
      </x:c>
      <x:c r="F11" s="51" t="str">
        <x:v>Количество незакрытых вакансий; индикатор спроса на труд.</x:v>
      </x:c>
      <x:c r="G11" s="51" t="str">
        <x:v>BLS</x:v>
      </x:c>
      <x:c r="H11" s="51" t="str">
        <x:v>Ежемесячно</x:v>
      </x:c>
      <x:c r="I11" s="51" t="str">
        <x:v>Май 2026</x:v>
      </x:c>
      <x:c r="J11" s="51" t="str">
        <x:v>2026-07-29</x:v>
      </x:c>
      <x:c r="K11" s="51" t="str">
        <x:v>7.594M</x:v>
      </x:c>
      <x:c r="L11" s="51" t="str">
        <x:v>7.585M</x:v>
      </x:c>
      <x:c r="M11" s="51" t="str">
        <x:v>7.30M</x:v>
      </x:c>
      <x:c r="N11" s="51" t="str">
        <x:v>Actual vs forecast; quits rate и hires.</x:v>
      </x:c>
      <x:c r="O11" s="51" t="str">
        <x:v>Рост вакансий позитивен для экономики, но при инфляции может усилить ожидания высоких ставок и давить на Nasdaq.</x:v>
      </x:c>
      <x:c r="P11" s="51" t="str">
        <x:v>Падение умеренно поддерживает облигации и growth, но резкий спад указывает на рецессионный риск.</x:v>
      </x:c>
      <x:c r="Q11" s="51" t="str">
        <x:v>Рост чаще умеренно негативен через ФРС.</x:v>
      </x:c>
      <x:c r="R11" s="51" t="str">
        <x:v>Умеренное падение может быть позитивно; резкое — негативно.</x:v>
      </x:c>
      <x:c r="S11" s="51" t="str">
        <x:v>JOLTS волатилен и пересматривается; quits часто информативнее вакансий.</x:v>
      </x:c>
      <x:c r="T11" s="51" t="str">
        <x:v>Quits rate, hires, NFP, US02Y</x:v>
      </x:c>
      <x:c r="U11" s="51" t="n">
        <x:v>3</x:v>
      </x:c>
      <x:c r="V11" s="51" t="n">
        <x:v>3</x:v>
      </x:c>
      <x:c r="W11" s="51" t="str">
        <x:v>https://www.bls.gov/jlt/</x:v>
      </x:c>
      <x:c r="X11" s="52" t="str">
        <x:v>https://www.forexfactory.com/calendar</x:v>
      </x:c>
    </x:row>
    <x:row r="12" ht="92" customHeight="1">
      <x:c r="A12" s="56" t="n">
        <x:v>11</x:v>
      </x:c>
      <x:c r="B12" s="57" t="str">
        <x:v>Деловая активность</x:v>
      </x:c>
      <x:c r="C12" s="57" t="str">
        <x:v>ISM Manufacturing PMI</x:v>
      </x:c>
      <x:c r="D12" s="57" t="str">
        <x:v>ECONOMIC:USPMI</x:v>
      </x:c>
      <x:c r="E12" s="57" t="str">
        <x:v>NAPM</x:v>
      </x:c>
      <x:c r="F12" s="57" t="str">
        <x:v>Опрос менеджеров по закупкам в промышленности; &gt;50 — расширение.</x:v>
      </x:c>
      <x:c r="G12" s="57" t="str">
        <x:v>ISM</x:v>
      </x:c>
      <x:c r="H12" s="57" t="str">
        <x:v>Ежемесячно</x:v>
      </x:c>
      <x:c r="I12" s="57" t="str">
        <x:v>Июнь 2026</x:v>
      </x:c>
      <x:c r="J12" s="57" t="str">
        <x:v>2026-07-29</x:v>
      </x:c>
      <x:c r="K12" s="57" t="str">
        <x:v>53.3</x:v>
      </x:c>
      <x:c r="L12" s="57" t="str">
        <x:v>54.0</x:v>
      </x:c>
      <x:c r="M12" s="57" t="str">
        <x:v>—</x:v>
      </x:c>
      <x:c r="N12" s="57" t="str">
        <x:v>Headline, new orders, prices paid и employment.</x:v>
      </x:c>
      <x:c r="O12" s="57" t="str">
        <x:v>Рост обычно позитивен для industrials, materials и small caps; слишком сильные prices paid могут давить на весь рынок.</x:v>
      </x:c>
      <x:c r="P12" s="57" t="str">
        <x:v>Падение ниже 50 негативно для циклических акций; умеренное охлаждение может помочь growth через ставки.</x:v>
      </x:c>
      <x:c r="Q12" s="57" t="str">
        <x:v>Рост позитивен в risk-on, если инфляционный компонент не перегрет.</x:v>
      </x:c>
      <x:c r="R12" s="57" t="str">
        <x:v>Падение умеренно может помочь через ставку, но глубокое сокращение негативно.</x:v>
      </x:c>
      <x:c r="S12" s="57" t="str">
        <x:v>Prices Paid может полностью изменить интерпретацию headline.</x:v>
      </x:c>
      <x:c r="T12" s="57" t="str">
        <x:v>New orders, prices paid, copper, yields</x:v>
      </x:c>
      <x:c r="U12" s="57" t="n">
        <x:v>4</x:v>
      </x:c>
      <x:c r="V12" s="57" t="n">
        <x:v>4</x:v>
      </x:c>
      <x:c r="W12" s="57" t="str">
        <x:v>https://www.ismworld.org/supply-management-news-and-reports/reports/ism-pmi-reports/pmi/june/</x:v>
      </x:c>
      <x:c r="X12" s="58" t="str">
        <x:v>https://www.myfxbook.com/forex-economic-calendar</x:v>
      </x:c>
    </x:row>
    <x:row r="13" ht="92" customHeight="1">
      <x:c r="A13" s="56" t="n">
        <x:v>12</x:v>
      </x:c>
      <x:c r="B13" s="57" t="str">
        <x:v>Деловая активность</x:v>
      </x:c>
      <x:c r="C13" s="57" t="str">
        <x:v>ISM Services PMI</x:v>
      </x:c>
      <x:c r="D13" s="57" t="str">
        <x:v>ECONOMIC:USNMIS</x:v>
      </x:c>
      <x:c r="E13" s="57" t="str">
        <x:v>NMFCI</x:v>
      </x:c>
      <x:c r="F13" s="57" t="str">
        <x:v>Активность в секторе услуг — крупнейшей части экономики США; &gt;50 — расширение.</x:v>
      </x:c>
      <x:c r="G13" s="57" t="str">
        <x:v>ISM</x:v>
      </x:c>
      <x:c r="H13" s="57" t="str">
        <x:v>Ежемесячно</x:v>
      </x:c>
      <x:c r="I13" s="57" t="str">
        <x:v>Июнь 2026</x:v>
      </x:c>
      <x:c r="J13" s="57" t="str">
        <x:v>2026-07-29</x:v>
      </x:c>
      <x:c r="K13" s="57" t="str">
        <x:v>54.0</x:v>
      </x:c>
      <x:c r="L13" s="57" t="str">
        <x:v>54.5</x:v>
      </x:c>
      <x:c r="M13" s="57" t="str">
        <x:v>54.0</x:v>
      </x:c>
      <x:c r="N13" s="57" t="str">
        <x:v>Headline, business activity, prices paid и employment.</x:v>
      </x:c>
      <x:c r="O13" s="57" t="str">
        <x:v>Рост позитивен для экономики, но сильные цены в услугах негативны для rate-sensitive акций.</x:v>
      </x:c>
      <x:c r="P13" s="57" t="str">
        <x:v>Падение умеренно поддерживает облигации; ниже 50 — негатив для рынка.</x:v>
      </x:c>
      <x:c r="Q13" s="57" t="str">
        <x:v>Рост без инфляционного давления позитивен; с высокими prices paid — негативен.</x:v>
      </x:c>
      <x:c r="R13" s="57" t="str">
        <x:v>Падение может быть позитивно через ФРС, пока не возникает recession fear.</x:v>
      </x:c>
      <x:c r="S13" s="57" t="str">
        <x:v>Сервисная инфляция сейчас часто важнее manufacturing PMI.</x:v>
      </x:c>
      <x:c r="T13" s="57" t="str">
        <x:v>Prices paid, employment, Core CPI services</x:v>
      </x:c>
      <x:c r="U13" s="57" t="n">
        <x:v>4</x:v>
      </x:c>
      <x:c r="V13" s="57" t="n">
        <x:v>4</x:v>
      </x:c>
      <x:c r="W13" s="57" t="str">
        <x:v>https://www.ismworld.org/</x:v>
      </x:c>
      <x:c r="X13" s="58" t="str">
        <x:v>https://www.forexfactory.com/calendar</x:v>
      </x:c>
    </x:row>
    <x:row r="14" ht="92" customHeight="1">
      <x:c r="A14" s="62" t="n">
        <x:v>13</x:v>
      </x:c>
      <x:c r="B14" s="63" t="str">
        <x:v>Потребитель</x:v>
      </x:c>
      <x:c r="C14" s="63" t="str">
        <x:v>Retail Sales MoM</x:v>
      </x:c>
      <x:c r="D14" s="63" t="str">
        <x:v>ECONOMIC:USRSYOY</x:v>
      </x:c>
      <x:c r="E14" s="63" t="str">
        <x:v>RSAFS</x:v>
      </x:c>
      <x:c r="F14" s="63" t="str">
        <x:v>Номинальные продажи розничной торговли и общепита.</x:v>
      </x:c>
      <x:c r="G14" s="63" t="str">
        <x:v>U.S. Census Bureau</x:v>
      </x:c>
      <x:c r="H14" s="63" t="str">
        <x:v>Ежемесячно</x:v>
      </x:c>
      <x:c r="I14" s="63" t="str">
        <x:v>Июнь 2026</x:v>
      </x:c>
      <x:c r="J14" s="63" t="str">
        <x:v>2026-07-29</x:v>
      </x:c>
      <x:c r="K14" s="63" t="str">
        <x:v>+0.2%</x:v>
      </x:c>
      <x:c r="L14" s="63" t="str">
        <x:v>+1.0%</x:v>
      </x:c>
      <x:c r="M14" s="63" t="str">
        <x:v>+0.3%</x:v>
      </x:c>
      <x:c r="N14" s="63" t="str">
        <x:v>Control group и ex-auto/ex-gas часто важнее headline.</x:v>
      </x:c>
      <x:c r="O14" s="63" t="str">
        <x:v>Рост поддерживает consumer discretionary и GDP expectations; слишком сильный рост при инфляции может повысить доходности.</x:v>
      </x:c>
      <x:c r="P14" s="63" t="str">
        <x:v>Падение негативно для consumer stocks; умеренная слабость может помочь Nasdaq через ставки.</x:v>
      </x:c>
      <x:c r="Q14" s="63" t="str">
        <x:v>Рост позитивен в risk-on, но сильный сюрприз может быть негативен через ФРС.</x:v>
      </x:c>
      <x:c r="R14" s="63" t="str">
        <x:v>Умеренное падение иногда позитивно; резкое падение — негативно.</x:v>
      </x:c>
      <x:c r="S14" s="63" t="str">
        <x:v>Данные номинальные: рост может отражать инфляцию, а не реальные объемы.</x:v>
      </x:c>
      <x:c r="T14" s="63" t="str">
        <x:v>Control group, real spending, consumer confidence</x:v>
      </x:c>
      <x:c r="U14" s="63" t="n">
        <x:v>4</x:v>
      </x:c>
      <x:c r="V14" s="63" t="n">
        <x:v>4</x:v>
      </x:c>
      <x:c r="W14" s="63" t="str">
        <x:v>https://www.census.gov/retail/sales.html</x:v>
      </x:c>
      <x:c r="X14" s="64" t="str">
        <x:v>https://www.myfxbook.com/forex-economic-calendar</x:v>
      </x:c>
    </x:row>
    <x:row r="15" ht="92" customHeight="1">
      <x:c r="A15" s="68" t="n">
        <x:v>14</x:v>
      </x:c>
      <x:c r="B15" s="69" t="str">
        <x:v>Производство</x:v>
      </x:c>
      <x:c r="C15" s="69" t="str">
        <x:v>Industrial Production MoM</x:v>
      </x:c>
      <x:c r="D15" s="69" t="str">
        <x:v>ECONOMIC:USIP</x:v>
      </x:c>
      <x:c r="E15" s="69" t="str">
        <x:v>INDPRO</x:v>
      </x:c>
      <x:c r="F15" s="69" t="str">
        <x:v>Объем выпуска промышленности, добычи и коммунальных услуг.</x:v>
      </x:c>
      <x:c r="G15" s="69" t="str">
        <x:v>Federal Reserve</x:v>
      </x:c>
      <x:c r="H15" s="69" t="str">
        <x:v>Ежемесячно</x:v>
      </x:c>
      <x:c r="I15" s="69" t="str">
        <x:v>Июнь 2026</x:v>
      </x:c>
      <x:c r="J15" s="69" t="str">
        <x:v>2026-07-29</x:v>
      </x:c>
      <x:c r="K15" s="69" t="str">
        <x:v>+0.1%</x:v>
      </x:c>
      <x:c r="L15" s="69" t="str">
        <x:v>+0.1%</x:v>
      </x:c>
      <x:c r="M15" s="69" t="str">
        <x:v>+0.2%</x:v>
      </x:c>
      <x:c r="N15" s="69" t="str">
        <x:v>Actual vs forecast; manufacturing output и capacity utilization.</x:v>
      </x:c>
      <x:c r="O15" s="69" t="str">
        <x:v>Рост позитивен для industrials и cyclicals; очень сильный рост может поднять yields.</x:v>
      </x:c>
      <x:c r="P15" s="69" t="str">
        <x:v>Падение негативно для cyclicals; умеренная слабость может поддержать growth.</x:v>
      </x:c>
      <x:c r="Q15" s="69" t="str">
        <x:v>Рост умеренно позитивен через экономику.</x:v>
      </x:c>
      <x:c r="R15" s="69" t="str">
        <x:v>Падение обычно умеренно негативно, если указывает на спад.</x:v>
      </x:c>
      <x:c r="S15" s="69" t="str">
        <x:v>Воздействие обычно ниже CPI/NFP/FOMC.</x:v>
      </x:c>
      <x:c r="T15" s="69" t="str">
        <x:v>Capacity utilization, ISM, durable goods</x:v>
      </x:c>
      <x:c r="U15" s="69" t="n">
        <x:v>3</x:v>
      </x:c>
      <x:c r="V15" s="69" t="n">
        <x:v>3</x:v>
      </x:c>
      <x:c r="W15" s="69" t="str">
        <x:v>https://www.federalreserve.gov/releases/g17/current/default.htm</x:v>
      </x:c>
      <x:c r="X15" s="70" t="str">
        <x:v>https://www.forexfactory.com/calendar</x:v>
      </x:c>
    </x:row>
    <x:row r="16" ht="92" customHeight="1">
      <x:c r="A16" s="68" t="n">
        <x:v>15</x:v>
      </x:c>
      <x:c r="B16" s="69" t="str">
        <x:v>Производство</x:v>
      </x:c>
      <x:c r="C16" s="69" t="str">
        <x:v>Capacity Utilization</x:v>
      </x:c>
      <x:c r="D16" s="69" t="str">
        <x:v>—</x:v>
      </x:c>
      <x:c r="E16" s="69" t="str">
        <x:v>TCU</x:v>
      </x:c>
      <x:c r="F16" s="69" t="str">
        <x:v>Доля используемых производственных мощностей.</x:v>
      </x:c>
      <x:c r="G16" s="69" t="str">
        <x:v>Federal Reserve</x:v>
      </x:c>
      <x:c r="H16" s="69" t="str">
        <x:v>Ежемесячно</x:v>
      </x:c>
      <x:c r="I16" s="69" t="str">
        <x:v>Июнь 2026</x:v>
      </x:c>
      <x:c r="J16" s="69" t="str">
        <x:v>2026-07-29</x:v>
      </x:c>
      <x:c r="K16" s="69" t="str">
        <x:v>76.1%</x:v>
      </x:c>
      <x:c r="L16" s="69" t="str">
        <x:v>76.1%</x:v>
      </x:c>
      <x:c r="M16" s="69" t="str">
        <x:v>—</x:v>
      </x:c>
      <x:c r="N16" s="69" t="str">
        <x:v>Actual vs forecast; долгосрочный средний уровень.</x:v>
      </x:c>
      <x:c r="O16" s="69" t="str">
        <x:v>Рост позитивен для промышленности, но приближение к пределам может усилить инфляционные риски.</x:v>
      </x:c>
      <x:c r="P16" s="69" t="str">
        <x:v>Падение означает свободные мощности и слабый спрос; негативно для циклических компаний.</x:v>
      </x:c>
      <x:c r="Q16" s="69" t="str">
        <x:v>Рост обычно слабопозитивен, пока не вызывает инфляционные опасения.</x:v>
      </x:c>
      <x:c r="R16" s="69" t="str">
        <x:v>Падение слабонегативно.</x:v>
      </x:c>
      <x:c r="S16" s="69" t="str">
        <x:v>Редко самостоятельно двигает рынок.</x:v>
      </x:c>
      <x:c r="T16" s="69" t="str">
        <x:v>Industrial production, PPI, ISM</x:v>
      </x:c>
      <x:c r="U16" s="69" t="n">
        <x:v>2</x:v>
      </x:c>
      <x:c r="V16" s="69" t="n">
        <x:v>2</x:v>
      </x:c>
      <x:c r="W16" s="69" t="str">
        <x:v>https://www.federalreserve.gov/releases/g17/current/default.htm</x:v>
      </x:c>
      <x:c r="X16" s="70" t="str">
        <x:v>https://www.investing.com/economic-calendar</x:v>
      </x:c>
    </x:row>
    <x:row r="17" ht="92" customHeight="1">
      <x:c r="A17" s="74" t="n">
        <x:v>16</x:v>
      </x:c>
      <x:c r="B17" s="75" t="str">
        <x:v>Недвижимость</x:v>
      </x:c>
      <x:c r="C17" s="75" t="str">
        <x:v>Housing Starts</x:v>
      </x:c>
      <x:c r="D17" s="75" t="str">
        <x:v>—</x:v>
      </x:c>
      <x:c r="E17" s="75" t="str">
        <x:v>HOUST</x:v>
      </x:c>
      <x:c r="F17" s="75" t="str">
        <x:v>Начатое строительство новых жилых объектов, annualized.</x:v>
      </x:c>
      <x:c r="G17" s="75" t="str">
        <x:v>U.S. Census Bureau / HUD</x:v>
      </x:c>
      <x:c r="H17" s="75" t="str">
        <x:v>Ежемесячно</x:v>
      </x:c>
      <x:c r="I17" s="75" t="str">
        <x:v>Июнь 2026</x:v>
      </x:c>
      <x:c r="J17" s="75" t="str">
        <x:v>2026-07-29</x:v>
      </x:c>
      <x:c r="K17" s="75" t="str">
        <x:v>1.427M</x:v>
      </x:c>
      <x:c r="L17" s="75" t="str">
        <x:v>1.199M</x:v>
      </x:c>
      <x:c r="M17" s="75" t="str">
        <x:v>—</x:v>
      </x:c>
      <x:c r="N17" s="75" t="str">
        <x:v>Single-family starts важнее волатильного multi-family компонента.</x:v>
      </x:c>
      <x:c r="O17" s="75" t="str">
        <x:v>Рост позитивен для homebuilders, materials и banks; сильный рост может поднять доходности.</x:v>
      </x:c>
      <x:c r="P17" s="75" t="str">
        <x:v>Падение негативно для жилищного сектора и циклических акций.</x:v>
      </x:c>
      <x:c r="Q17" s="75" t="str">
        <x:v>Рост умеренно позитивен как сигнал экономики.</x:v>
      </x:c>
      <x:c r="R17" s="75" t="str">
        <x:v>Падение умеренно негативно; влияние на крипто обычно слабое.</x:v>
      </x:c>
      <x:c r="S17" s="75" t="str">
        <x:v>Headline был усилен скачком multi-family; нужно смотреть single-family.</x:v>
      </x:c>
      <x:c r="T17" s="75" t="str">
        <x:v>Mortgage rates, permits, homebuilder stocks</x:v>
      </x:c>
      <x:c r="U17" s="75" t="n">
        <x:v>3</x:v>
      </x:c>
      <x:c r="V17" s="75" t="n">
        <x:v>2</x:v>
      </x:c>
      <x:c r="W17" s="75" t="str">
        <x:v>https://www.census.gov/construction/nrc/</x:v>
      </x:c>
      <x:c r="X17" s="76" t="str">
        <x:v>https://www.myfxbook.com/forex-economic-calendar</x:v>
      </x:c>
    </x:row>
    <x:row r="18" ht="92" customHeight="1">
      <x:c r="A18" s="74" t="n">
        <x:v>17</x:v>
      </x:c>
      <x:c r="B18" s="75" t="str">
        <x:v>Недвижимость</x:v>
      </x:c>
      <x:c r="C18" s="75" t="str">
        <x:v>Building Permits</x:v>
      </x:c>
      <x:c r="D18" s="75" t="str">
        <x:v>ECONOMIC:USBP</x:v>
      </x:c>
      <x:c r="E18" s="75" t="str">
        <x:v>PERMIT</x:v>
      </x:c>
      <x:c r="F18" s="75" t="str">
        <x:v>Разрешения на строительство — опережающий индикатор будущей стройки.</x:v>
      </x:c>
      <x:c r="G18" s="75" t="str">
        <x:v>U.S. Census Bureau / HUD</x:v>
      </x:c>
      <x:c r="H18" s="75" t="str">
        <x:v>Ежемесячно</x:v>
      </x:c>
      <x:c r="I18" s="75" t="str">
        <x:v>Июнь 2026</x:v>
      </x:c>
      <x:c r="J18" s="75" t="str">
        <x:v>2026-07-29</x:v>
      </x:c>
      <x:c r="K18" s="75" t="str">
        <x:v>1.367M</x:v>
      </x:c>
      <x:c r="L18" s="75" t="str">
        <x:v>1.409M</x:v>
      </x:c>
      <x:c r="M18" s="75" t="str">
        <x:v>—</x:v>
      </x:c>
      <x:c r="N18" s="75" t="str">
        <x:v>Single-family permits и revisions.</x:v>
      </x:c>
      <x:c r="O18" s="75" t="str">
        <x:v>Рост позитивен для homebuilders и материалов.</x:v>
      </x:c>
      <x:c r="P18" s="75" t="str">
        <x:v>Падение негативно для housing-sensitive сегментов.</x:v>
      </x:c>
      <x:c r="Q18" s="75" t="str">
        <x:v>Рост слабопозитивен.</x:v>
      </x:c>
      <x:c r="R18" s="75" t="str">
        <x:v>Падение слабонегативно.</x:v>
      </x:c>
      <x:c r="S18" s="75" t="str">
        <x:v>Влияние ограничено, если mortgage rates движутся в противоположную сторону.</x:v>
      </x:c>
      <x:c r="T18" s="75" t="str">
        <x:v>Mortgage rates, housing starts, NAHB</x:v>
      </x:c>
      <x:c r="U18" s="75" t="n">
        <x:v>2</x:v>
      </x:c>
      <x:c r="V18" s="75" t="n">
        <x:v>2</x:v>
      </x:c>
      <x:c r="W18" s="75" t="str">
        <x:v>https://www.census.gov/construction/nrc/</x:v>
      </x:c>
      <x:c r="X18" s="76" t="str">
        <x:v>https://www.forexfactory.com/calendar</x:v>
      </x:c>
    </x:row>
    <x:row r="19" ht="92" customHeight="1">
      <x:c r="A19" s="19" t="n">
        <x:v>18</x:v>
      </x:c>
      <x:c r="B19" s="14" t="str">
        <x:v>Потребитель</x:v>
      </x:c>
      <x:c r="C19" s="14" t="str">
        <x:v>Conference Board Consumer Confidence</x:v>
      </x:c>
      <x:c r="D19" s="14" t="str">
        <x:v>ECONOMIC:USCCI</x:v>
      </x:c>
      <x:c r="E19" s="14" t="str">
        <x:v>CSCICP03USM665S</x:v>
      </x:c>
      <x:c r="F19" s="14" t="str">
        <x:v>Оценка потребителями текущей ситуации и ожиданий.</x:v>
      </x:c>
      <x:c r="G19" s="14" t="str">
        <x:v>The Conference Board</x:v>
      </x:c>
      <x:c r="H19" s="14" t="str">
        <x:v>Ежемесячно</x:v>
      </x:c>
      <x:c r="I19" s="14" t="str">
        <x:v>Июль 2026</x:v>
      </x:c>
      <x:c r="J19" s="14" t="str">
        <x:v>2026-07-29</x:v>
      </x:c>
      <x:c r="K19" s="14" t="str">
        <x:v>90.8</x:v>
      </x:c>
      <x:c r="L19" s="14" t="str">
        <x:v>92.2</x:v>
      </x:c>
      <x:c r="M19" s="14" t="str">
        <x:v>92.3</x:v>
      </x:c>
      <x:c r="N19" s="14" t="str">
        <x:v>Expectations index и labor differential.</x:v>
      </x:c>
      <x:c r="O19" s="14" t="str">
        <x:v>Рост поддерживает consumer discretionary и экономические ожидания.</x:v>
      </x:c>
      <x:c r="P19" s="14" t="str">
        <x:v>Падение негативно для consumer stocks; может снижать yields и поддерживать growth.</x:v>
      </x:c>
      <x:c r="Q19" s="14" t="str">
        <x:v>Рост умеренно позитивен для risk appetite.</x:v>
      </x:c>
      <x:c r="R19" s="14" t="str">
        <x:v>Падение умеренно негативно; иногда позитивно через ожидания ставок.</x:v>
      </x:c>
      <x:c r="S19" s="14" t="str">
        <x:v>Рынок сильнее реагирует на резкие изменения и labor differential.</x:v>
      </x:c>
      <x:c r="T19" s="14" t="str">
        <x:v>Retail sales, Michigan sentiment, claims</x:v>
      </x:c>
      <x:c r="U19" s="14" t="n">
        <x:v>3</x:v>
      </x:c>
      <x:c r="V19" s="14" t="n">
        <x:v>3</x:v>
      </x:c>
      <x:c r="W19" s="14" t="str">
        <x:v>https://www.conference-board.org/topics/consumer-confidence/</x:v>
      </x:c>
      <x:c r="X19" s="20" t="str">
        <x:v>https://www.investing.com/economic-calendar</x:v>
      </x:c>
    </x:row>
    <x:row r="20" ht="92" customHeight="1">
      <x:c r="A20" s="19" t="n">
        <x:v>19</x:v>
      </x:c>
      <x:c r="B20" s="14" t="str">
        <x:v>Потребитель</x:v>
      </x:c>
      <x:c r="C20" s="14" t="str">
        <x:v>University of Michigan Sentiment</x:v>
      </x:c>
      <x:c r="D20" s="14" t="str">
        <x:v>—</x:v>
      </x:c>
      <x:c r="E20" s="14" t="str">
        <x:v>UMCSENT</x:v>
      </x:c>
      <x:c r="F20" s="14" t="str">
        <x:v>Опрос потребительских настроений и инфляционных ожиданий.</x:v>
      </x:c>
      <x:c r="G20" s="14" t="str">
        <x:v>University of Michigan</x:v>
      </x:c>
      <x:c r="H20" s="14" t="str">
        <x:v>Дважды в месяц: предварительно/финально</x:v>
      </x:c>
      <x:c r="I20" s="14" t="str">
        <x:v>Предварительно, июль 2026</x:v>
      </x:c>
      <x:c r="J20" s="14" t="str">
        <x:v>2026-07-29</x:v>
      </x:c>
      <x:c r="K20" s="14" t="str">
        <x:v>54.4</x:v>
      </x:c>
      <x:c r="L20" s="14" t="str">
        <x:v>49.5</x:v>
      </x:c>
      <x:c r="M20" s="14" t="str">
        <x:v>—</x:v>
      </x:c>
      <x:c r="N20" s="14" t="str">
        <x:v>Инфляционные ожидания 1Y/5Y часто важнее headline.</x:v>
      </x:c>
      <x:c r="O20" s="14" t="str">
        <x:v>Рост позитивен для consumer stocks; рост инфляционных ожиданий одновременно негативен для growth.</x:v>
      </x:c>
      <x:c r="P20" s="14" t="str">
        <x:v>Падение headline негативно, но снижение inflation expectations может поддержать рынок.</x:v>
      </x:c>
      <x:c r="Q20" s="14" t="str">
        <x:v>Рост sentiment позитивен; рост inflation expectations негативен.</x:v>
      </x:c>
      <x:c r="R20" s="14" t="str">
        <x:v>Падение sentiment негативно; падение inflation expectations может быть позитивно.</x:v>
      </x:c>
      <x:c r="S20" s="14" t="str">
        <x:v>Необходимо разделять настроение и инфляционные ожидания.</x:v>
      </x:c>
      <x:c r="T20" s="14" t="str">
        <x:v>1Y inflation expectations, retail sales, DXY</x:v>
      </x:c>
      <x:c r="U20" s="14" t="n">
        <x:v>3</x:v>
      </x:c>
      <x:c r="V20" s="14" t="n">
        <x:v>3</x:v>
      </x:c>
      <x:c r="W20" s="14" t="str">
        <x:v>https://www.sca.isr.umich.edu/</x:v>
      </x:c>
      <x:c r="X20" s="20" t="str">
        <x:v>https://www.forexfactory.com/calendar</x:v>
      </x:c>
    </x:row>
    <x:row r="21" ht="92" customHeight="1">
      <x:c r="A21" s="19" t="n">
        <x:v>20</x:v>
      </x:c>
      <x:c r="B21" s="14" t="str">
        <x:v>Торговля</x:v>
      </x:c>
      <x:c r="C21" s="14" t="str">
        <x:v>Advance Goods Trade Balance</x:v>
      </x:c>
      <x:c r="D21" s="14" t="str">
        <x:v>—</x:v>
      </x:c>
      <x:c r="E21" s="14" t="str">
        <x:v>A939RC0Q052SBEA</x:v>
      </x:c>
      <x:c r="F21" s="14" t="str">
        <x:v>Разница между экспортом и импортом товаров; дефицит указывается отрицательно.</x:v>
      </x:c>
      <x:c r="G21" s="14" t="str">
        <x:v>U.S. Census Bureau</x:v>
      </x:c>
      <x:c r="H21" s="14" t="str">
        <x:v>Ежемесячно</x:v>
      </x:c>
      <x:c r="I21" s="14" t="str">
        <x:v>Июнь 2026</x:v>
      </x:c>
      <x:c r="J21" s="14" t="str">
        <x:v>2026-07-29</x:v>
      </x:c>
      <x:c r="K21" s="14" t="str">
        <x:v>-$101.5B</x:v>
      </x:c>
      <x:c r="L21" s="14" t="str">
        <x:v>-$105.9B</x:v>
      </x:c>
      <x:c r="M21" s="14" t="str">
        <x:v>—</x:v>
      </x:c>
      <x:c r="N21" s="14" t="str">
        <x:v>Изменение экспорта/импорта и влияние на GDPNow.</x:v>
      </x:c>
      <x:c r="O21" s="14" t="str">
        <x:v>Сужение дефицита может поддержать GDP, но падение импорта иногда отражает слабый спрос.</x:v>
      </x:c>
      <x:c r="P21" s="14" t="str">
        <x:v>Расширение дефицита может снизить GDP estimate; влияние на индексы неоднозначно.</x:v>
      </x:c>
      <x:c r="Q21" s="14" t="str">
        <x:v>Обычно слабое прямое влияние; важнее через GDP и доллар.</x:v>
      </x:c>
      <x:c r="R21" s="14" t="str">
        <x:v>Обычно слабое прямое влияние.</x:v>
      </x:c>
      <x:c r="S21" s="14" t="str">
        <x:v>Нельзя автоматически считать меньший дефицит позитивом без анализа импорта и экспорта.</x:v>
      </x:c>
      <x:c r="T21" s="14" t="str">
        <x:v>GDPNow, inventories, DXY</x:v>
      </x:c>
      <x:c r="U21" s="14" t="n">
        <x:v>2</x:v>
      </x:c>
      <x:c r="V21" s="14" t="n">
        <x:v>2</x:v>
      </x:c>
      <x:c r="W21" s="14" t="str">
        <x:v>https://www.census.gov/foreign-trade/</x:v>
      </x:c>
      <x:c r="X21" s="20" t="str">
        <x:v>https://www.investing.com/economic-calendar</x:v>
      </x:c>
    </x:row>
    <x:row r="22" ht="92" customHeight="1">
      <x:c r="A22" s="19" t="n">
        <x:v>21</x:v>
      </x:c>
      <x:c r="B22" s="14" t="str">
        <x:v>Ликвидность</x:v>
      </x:c>
      <x:c r="C22" s="14" t="str">
        <x:v>DXY — индекс доллара</x:v>
      </x:c>
      <x:c r="D22" s="14" t="str">
        <x:v>TVC:DXY</x:v>
      </x:c>
      <x:c r="E22" s="14" t="str">
        <x:v>DTWEXBGS</x:v>
      </x:c>
      <x:c r="F22" s="14" t="str">
        <x:v>Сила доллара против корзины валют; не макрорелиз, а ключевой рыночный передатчик.</x:v>
      </x:c>
      <x:c r="G22" s="14" t="str">
        <x:v>ICE / рыночные данные</x:v>
      </x:c>
      <x:c r="H22" s="14" t="str">
        <x:v>Непрерывно</x:v>
      </x:c>
      <x:c r="I22" s="14" t="str">
        <x:v>Текущий рынок</x:v>
      </x:c>
      <x:c r="J22" s="14" t="str">
        <x:v>2026-07-29</x:v>
      </x:c>
      <x:c r="K22" s="14" t="str">
        <x:v>Смотреть live</x:v>
      </x:c>
      <x:c r="L22" s="14" t="str">
        <x:v>Смотреть live</x:v>
      </x:c>
      <x:c r="M22" s="14" t="str">
        <x:v>—</x:v>
      </x:c>
      <x:c r="N22" s="14" t="str">
        <x:v>Направление после макрорелиза и пробой ключевых уровней.</x:v>
      </x:c>
      <x:c r="O22" s="14" t="str">
        <x:v>Рост DXY обычно давит на международную выручку и risk assets; exporters страдают.</x:v>
      </x:c>
      <x:c r="P22" s="14" t="str">
        <x:v>Падение DXY поддерживает commodities, multinationals и risk-on.</x:v>
      </x:c>
      <x:c r="Q22" s="14" t="str">
        <x:v>Рост DXY обычно отрицательно коррелирует с BTC и особенно альткоинами.</x:v>
      </x:c>
      <x:c r="R22" s="14" t="str">
        <x:v>Падение DXY обычно поддерживает BTC/ETH и расширение altcoin breadth.</x:v>
      </x:c>
      <x:c r="S22" s="14" t="str">
        <x:v>Связь может временно ломаться при safe-haven спросе одновременно на USD и BTC.</x:v>
      </x:c>
      <x:c r="T22" s="14" t="str">
        <x:v>US02Y, US10Y, EURUSD, liquidity</x:v>
      </x:c>
      <x:c r="U22" s="14" t="n">
        <x:v>5</x:v>
      </x:c>
      <x:c r="V22" s="14" t="n">
        <x:v>5</x:v>
      </x:c>
      <x:c r="W22" s="14" t="str">
        <x:v>https://fred.stlouisfed.org/series/DTWEXBGS</x:v>
      </x:c>
      <x:c r="X22" s="20" t="str">
        <x:v>https://www.tradingview.com/symbols/TVC-DXY/</x:v>
      </x:c>
    </x:row>
    <x:row r="23" ht="92" customHeight="1">
      <x:c r="A23" s="19" t="n">
        <x:v>22</x:v>
      </x:c>
      <x:c r="B23" s="14" t="str">
        <x:v>Ставки и ликвидность</x:v>
      </x:c>
      <x:c r="C23" s="14" t="str">
        <x:v>Доходность US 2Y</x:v>
      </x:c>
      <x:c r="D23" s="14" t="str">
        <x:v>TVC:US02Y</x:v>
      </x:c>
      <x:c r="E23" s="14" t="str">
        <x:v>DGS2</x:v>
      </x:c>
      <x:c r="F23" s="14" t="str">
        <x:v>Доходность двухлетних Treasuries — наиболее чувствительный рыночный индикатор ожиданий по ставке ФРС.</x:v>
      </x:c>
      <x:c r="G23" s="14" t="str">
        <x:v>U.S. Treasury / FRED</x:v>
      </x:c>
      <x:c r="H23" s="14" t="str">
        <x:v>Ежедневно</x:v>
      </x:c>
      <x:c r="I23" s="14" t="str">
        <x:v>Текущий рынок</x:v>
      </x:c>
      <x:c r="J23" s="14" t="str">
        <x:v>2026-07-29</x:v>
      </x:c>
      <x:c r="K23" s="14" t="str">
        <x:v>Смотреть live</x:v>
      </x:c>
      <x:c r="L23" s="14" t="str">
        <x:v>Смотреть live</x:v>
      </x:c>
      <x:c r="M23" s="14" t="str">
        <x:v>—</x:v>
      </x:c>
      <x:c r="N23" s="14" t="str">
        <x:v>Реакция на CPI/NFP/FOMC и изменение ожиданий terminal rate.</x:v>
      </x:c>
      <x:c r="O23" s="14" t="str">
        <x:v>Рост доходности обычно негативен для growth и Nasdaq.</x:v>
      </x:c>
      <x:c r="P23" s="14" t="str">
        <x:v>Падение доходности поддерживает growth, если не вызвано паникой/рецессией.</x:v>
      </x:c>
      <x:c r="Q23" s="14" t="str">
        <x:v>Рост — сильный негатив для BTC/ETH.</x:v>
      </x:c>
      <x:c r="R23" s="14" t="str">
        <x:v>Падение — сильный позитив, если credit spreads стабильны.</x:v>
      </x:c>
      <x:c r="S23" s="14" t="str">
        <x:v>Падение yields на фоне кризиса может совпасть с падением risk assets.</x:v>
      </x:c>
      <x:c r="T23" s="14" t="str">
        <x:v>DXY, FedWatch, US10Y, credit spreads</x:v>
      </x:c>
      <x:c r="U23" s="14" t="n">
        <x:v>5</x:v>
      </x:c>
      <x:c r="V23" s="14" t="n">
        <x:v>5</x:v>
      </x:c>
      <x:c r="W23" s="14" t="str">
        <x:v>https://fred.stlouisfed.org/series/DGS2</x:v>
      </x:c>
      <x:c r="X23" s="20" t="str">
        <x:v>https://www.tradingview.com/symbols/TVC-US02Y/</x:v>
      </x:c>
    </x:row>
    <x:row r="24" ht="92" customHeight="1">
      <x:c r="A24" s="19" t="n">
        <x:v>23</x:v>
      </x:c>
      <x:c r="B24" s="14" t="str">
        <x:v>Ставки и ликвидность</x:v>
      </x:c>
      <x:c r="C24" s="14" t="str">
        <x:v>Доходность US 10Y</x:v>
      </x:c>
      <x:c r="D24" s="14" t="str">
        <x:v>TVC:US10Y</x:v>
      </x:c>
      <x:c r="E24" s="14" t="str">
        <x:v>DGS10</x:v>
      </x:c>
      <x:c r="F24" s="14" t="str">
        <x:v>Долгосрочная безрисковая ставка и ключевой дисконтный фактор для активов.</x:v>
      </x:c>
      <x:c r="G24" s="14" t="str">
        <x:v>U.S. Treasury / FRED</x:v>
      </x:c>
      <x:c r="H24" s="14" t="str">
        <x:v>Ежедневно</x:v>
      </x:c>
      <x:c r="I24" s="14" t="str">
        <x:v>Текущий рынок</x:v>
      </x:c>
      <x:c r="J24" s="14" t="str">
        <x:v>2026-07-29</x:v>
      </x:c>
      <x:c r="K24" s="14" t="str">
        <x:v>Смотреть live</x:v>
      </x:c>
      <x:c r="L24" s="14" t="str">
        <x:v>Смотреть live</x:v>
      </x:c>
      <x:c r="M24" s="14" t="str">
        <x:v>—</x:v>
      </x:c>
      <x:c r="N24" s="14" t="str">
        <x:v>Изменение реальной доходности и причины движения.</x:v>
      </x:c>
      <x:c r="O24" s="14" t="str">
        <x:v>Рост обычно давит на high-duration equities, REITs и valuation multiples.</x:v>
      </x:c>
      <x:c r="P24" s="14" t="str">
        <x:v>Падение обычно поддерживает акции, если не связано с recession shock.</x:v>
      </x:c>
      <x:c r="Q24" s="14" t="str">
        <x:v>Рост обычно давит на BTC; альткоины чувствительнее.</x:v>
      </x:c>
      <x:c r="R24" s="14" t="str">
        <x:v>Падение обычно поддерживает крипто.</x:v>
      </x:c>
      <x:c r="S24" s="14" t="str">
        <x:v>Рост из-за сильного реального роста менее негативен, чем рост из-за инфляции.</x:v>
      </x:c>
      <x:c r="T24" s="14" t="str">
        <x:v>Real yield, US02Y, DXY, VIX</x:v>
      </x:c>
      <x:c r="U24" s="14" t="n">
        <x:v>5</x:v>
      </x:c>
      <x:c r="V24" s="14" t="n">
        <x:v>5</x:v>
      </x:c>
      <x:c r="W24" s="14" t="str">
        <x:v>https://fred.stlouisfed.org/series/DGS10</x:v>
      </x:c>
      <x:c r="X24" s="20" t="str">
        <x:v>https://www.tradingview.com/symbols/TVC-US10Y/</x:v>
      </x:c>
    </x:row>
    <x:row r="25" ht="92" customHeight="1">
      <x:c r="A25" s="19" t="n">
        <x:v>24</x:v>
      </x:c>
      <x:c r="B25" s="14" t="str">
        <x:v>Риск</x:v>
      </x:c>
      <x:c r="C25" s="14" t="str">
        <x:v>VIX</x:v>
      </x:c>
      <x:c r="D25" s="14" t="str">
        <x:v>CBOE:VIX</x:v>
      </x:c>
      <x:c r="E25" s="14" t="str">
        <x:v>VIXCLS</x:v>
      </x:c>
      <x:c r="F25" s="14" t="str">
        <x:v>Ожидаемая 30-дневная волатильность S&amp;P 500 по опционам.</x:v>
      </x:c>
      <x:c r="G25" s="14" t="str">
        <x:v>Cboe</x:v>
      </x:c>
      <x:c r="H25" s="14" t="str">
        <x:v>Непрерывно</x:v>
      </x:c>
      <x:c r="I25" s="14" t="str">
        <x:v>Текущий рынок</x:v>
      </x:c>
      <x:c r="J25" s="14" t="str">
        <x:v>2026-07-29</x:v>
      </x:c>
      <x:c r="K25" s="14" t="str">
        <x:v>Смотреть live</x:v>
      </x:c>
      <x:c r="L25" s="14" t="str">
        <x:v>Смотреть live</x:v>
      </x:c>
      <x:c r="M25" s="14" t="str">
        <x:v>—</x:v>
      </x:c>
      <x:c r="N25" s="14" t="str">
        <x:v>Направление и term structure; spot VIX vs futures.</x:v>
      </x:c>
      <x:c r="O25" s="14" t="str">
        <x:v>Рост VIX означает risk-off и обычно сопровождает падение индексов.</x:v>
      </x:c>
      <x:c r="P25" s="14" t="str">
        <x:v>Падение VIX поддерживает акции и carry trades.</x:v>
      </x:c>
      <x:c r="Q25" s="14" t="str">
        <x:v>Рост VIX обычно негативен для BTC/альткоинов.</x:v>
      </x:c>
      <x:c r="R25" s="14" t="str">
        <x:v>Падение VIX обычно позитивно для крипто.</x:v>
      </x:c>
      <x:c r="S25" s="14" t="str">
        <x:v>При криптоспецифическом событии BTC может падать без сильного роста VIX.</x:v>
      </x:c>
      <x:c r="T25" s="14" t="str">
        <x:v>S&amp;P futures, MOVE, credit spreads, BTC vol</x:v>
      </x:c>
      <x:c r="U25" s="14" t="n">
        <x:v>4</x:v>
      </x:c>
      <x:c r="V25" s="14" t="n">
        <x:v>4</x:v>
      </x:c>
      <x:c r="W25" s="14" t="str">
        <x:v>https://fred.stlouisfed.org/series/VIXCLS</x:v>
      </x:c>
      <x:c r="X25" s="20" t="str">
        <x:v>https://www.tradingview.com/symbols/CBOE-VIX/</x:v>
      </x:c>
    </x:row>
    <x:row r="26" ht="92" customHeight="1">
      <x:c r="A26" s="21" t="n">
        <x:v>25</x:v>
      </x:c>
      <x:c r="B26" s="22" t="str">
        <x:v>Ликвидность</x:v>
      </x:c>
      <x:c r="C26" s="22" t="str">
        <x:v>Баланс ФРС, total assets</x:v>
      </x:c>
      <x:c r="D26" s="22" t="str">
        <x:v>—</x:v>
      </x:c>
      <x:c r="E26" s="22" t="str">
        <x:v>WALCL</x:v>
      </x:c>
      <x:c r="F26" s="22" t="str">
        <x:v>Общий размер активов Федеральной резервной системы; индикатор QE/QT и системной ликвидности.</x:v>
      </x:c>
      <x:c r="G26" s="22" t="str">
        <x:v>Federal Reserve</x:v>
      </x:c>
      <x:c r="H26" s="22" t="str">
        <x:v>Еженедельно</x:v>
      </x:c>
      <x:c r="I26" s="22" t="str">
        <x:v>Текущая неделя</x:v>
      </x:c>
      <x:c r="J26" s="22" t="str">
        <x:v>2026-07-29</x:v>
      </x:c>
      <x:c r="K26" s="22" t="str">
        <x:v>Смотреть FRED</x:v>
      </x:c>
      <x:c r="L26" s="22" t="str">
        <x:v>Смотреть FRED</x:v>
      </x:c>
      <x:c r="M26" s="22" t="str">
        <x:v>—</x:v>
      </x:c>
      <x:c r="N26" s="22" t="str">
        <x:v>Тренд за несколько недель, а не одно недельное изменение.</x:v>
      </x:c>
      <x:c r="O26" s="22" t="str">
        <x:v>Рост баланса обычно поддерживает ликвидность и оценки активов; снижение через QT создает встречный ветер.</x:v>
      </x:c>
      <x:c r="P26" s="22" t="str">
        <x:v>Сокращение баланса обычно негативно для liquidity-sensitive сегментов.</x:v>
      </x:c>
      <x:c r="Q26" s="22" t="str">
        <x:v>Расширение баланса часто является сильным среднесрочным позитивом для BTC/ETH.</x:v>
      </x:c>
      <x:c r="R26" s="22" t="str">
        <x:v>Сокращение баланса — среднесрочный негатив, особенно при росте Treasury cash balance.</x:v>
      </x:c>
      <x:c r="S26" s="22" t="str">
        <x:v>Технические операции могут менять баланс без полноценного QE.</x:v>
      </x:c>
      <x:c r="T26" s="22" t="str">
        <x:v>TGA, RRP, bank reserves, M2</x:v>
      </x:c>
      <x:c r="U26" s="22" t="n">
        <x:v>4</x:v>
      </x:c>
      <x:c r="V26" s="22" t="n">
        <x:v>5</x:v>
      </x:c>
      <x:c r="W26" s="22" t="str">
        <x:v>https://fred.stlouisfed.org/series/WALCL</x:v>
      </x:c>
      <x:c r="X26" s="23" t="str">
        <x:v>https://www.federalreserve.gov/releases/h41/</x:v>
      </x:c>
    </x:row>
  </x:sheetData>
  <x:conditionalFormatting sqref="U2:V26">
    <x:cfRule type="colorScale" priority="1">
      <x:colorScale>
        <x:cfvo type="min"/>
        <x:cfvo type="percentile" val="50"/>
        <x:cfvo type="max"/>
        <x:color rgb="FFFCE8E6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ef83fdf699a42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86" t="str">
        <x:v>Раздел</x:v>
      </x:c>
      <x:c r="B1" s="86" t="str">
        <x:v>Пояснение</x:v>
      </x:c>
    </x:row>
    <x:row r="2" ht="55" customHeight="1">
      <x:c r="A2" s="12" t="str">
        <x:v>Дата актуальности</x:v>
      </x:c>
      <x:c r="B2" s="12" t="str">
        <x:v>Значения проверены 29 июля 2026 года. Для рыночных серий DXY, US02Y, US10Y, VIX и баланса ФРС указаны live/FRED-ссылки, потому что точечное значение быстро устаревает.</x:v>
      </x:c>
    </x:row>
    <x:row r="3" ht="55" customHeight="1">
      <x:c r="A3" s="12" t="str">
        <x:v>Как читать реакцию</x:v>
      </x:c>
      <x:c r="B3" s="12" t="str">
        <x:v>Главный фактор — не сам рост/падение относительно предыдущего периода, а сюрприз Actual относительно Forecast. Далее рынок оценивает пересмотры и внутреннюю структуру релиза.</x:v>
      </x:c>
    </x:row>
    <x:row r="4" ht="55" customHeight="1">
      <x:c r="A4" s="12" t="str">
        <x:v>Good news / bad news</x:v>
      </x:c>
      <x:c r="B4" s="12" t="str">
        <x:v>Сильные экономические данные могут быть позитивны для прибыли, но негативны для акций и крипто, если повышают доходности и ожидания жесткой ФРС. Слабые данные могут поддержать рынок через ожидания снижения ставок, пока не возникает риск рецессии.</x:v>
      </x:c>
    </x:row>
    <x:row r="5" ht="55" customHeight="1">
      <x:c r="A5" s="12" t="str">
        <x:v>Крипторынок</x:v>
      </x:c>
      <x:c r="B5" s="12" t="str">
        <x:v>BTC и ETH обычно реагируют как high-beta liquidity assets. Альткоины чаще двигаются в том же направлении, но сильнее. Подтверждение: DXY, US02Y, US10Y, VIX и Nasdaq futures.</x:v>
      </x:c>
    </x:row>
    <x:row r="6" ht="55" customHeight="1">
      <x:c r="A6" s="12" t="str">
        <x:v>Ограничение</x:v>
      </x:c>
      <x:c r="B6" s="12" t="str">
        <x:v>Таблица описывает типичную, а не гарантированную реакцию. Геополитика, позиционирование, опционы, ликвидации и уже заложенные ожидания могут изменить результат.</x:v>
      </x:c>
    </x:row>
    <x:row r="7" ht="55" customHeight="1">
      <x:c r="A7" s="12" t="str">
        <x:v>Основные источники</x:v>
      </x:c>
      <x:c r="B7" s="12" t="str">
        <x:v>BLS, BEA, Federal Reserve, U.S. Census Bureau, Department of Labor, ISM, Conference Board, University of Michigan, FRED. Дополнительные календари используются для forecast/consensus.</x:v>
      </x:c>
    </x:row>
  </x:sheetData>
  <x:pageMargins left="0.7" right="0.7" top="0.75" bottom="0.75" header="0.3" footer="0.3"/>
</x:worksheet>
</file>